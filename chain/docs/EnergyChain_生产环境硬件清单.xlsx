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3060"/>
  </bookViews>
  <sheets>
    <sheet name="架构总览" sheetId="1" r:id="rId1"/>
    <sheet name="服务器详细清单" sheetId="2" r:id="rId2"/>
    <sheet name="云厂商实例映射" sheetId="3" r:id="rId3"/>
    <sheet name="费用汇总" sheetId="4" r:id="rId4"/>
    <sheet name="网络与安全" sheetId="5" r:id="rId5"/>
    <sheet name="端口与服务清单" sheetId="6" r:id="rId6"/>
    <sheet name="部署检查清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<sst xmlns="http://schemas.openxmlformats.org/spreadsheetml/2006/main" count="637" uniqueCount="405">
  <si>
    <t>EnergyChain 生产环境架构总览</t>
  </si>
  <si>
    <t>链 ID: energychain-1 | 出块 ~1s | Cosmos SDK + EVM | 9 业务模块 | 2026-07 参考报价</t>
  </si>
  <si>
    <t>层级</t>
  </si>
  <si>
    <t>组件</t>
  </si>
  <si>
    <t>数量</t>
  </si>
  <si>
    <t>部署方式</t>
  </si>
  <si>
    <t>说明</t>
  </si>
  <si>
    <t>共识层</t>
  </si>
  <si>
    <t>Validator 验证者节点</t>
  </si>
  <si>
    <t>4</t>
  </si>
  <si>
    <t>独立物理/云主机</t>
  </si>
  <si>
    <t>参与共识与出块；pruning=nothing；私钥仅驻留本机；不对外暴露 RPC</t>
  </si>
  <si>
    <t>Sentry 哨兵节点</t>
  </si>
  <si>
    <t>2</t>
  </si>
  <si>
    <t>独立云主机</t>
  </si>
  <si>
    <t>P2P 防火墙层；Validator 仅连接 Sentry；对外暴露 26656</t>
  </si>
  <si>
    <t>数据层</t>
  </si>
  <si>
    <t>Seed 种子节点</t>
  </si>
  <si>
    <t>轻量云主机</t>
  </si>
  <si>
    <t>新节点发现入口；固定公网 IP；仅 P2P 26656</t>
  </si>
  <si>
    <t>Full Node 全节点</t>
  </si>
  <si>
    <t>对外 RPC/REST/gRPC/EVM JSON-RPC；供 DEX/Explorer/第三方调用</t>
  </si>
  <si>
    <t>应用层</t>
  </si>
  <si>
    <t>DEX 服务栈</t>
  </si>
  <si>
    <t>1</t>
  </si>
  <si>
    <t>Docker Compose</t>
  </si>
  <si>
    <t>indexer + API(8081) + Web(3001) + Postgres + Redis + Nginx(8090)</t>
  </si>
  <si>
    <t>区块浏览器服务栈</t>
  </si>
  <si>
    <t>indexer + API(8080) + Web(3000) + Postgres + Redis</t>
  </si>
  <si>
    <t>链官网 / 门户前端</t>
  </si>
  <si>
    <t>静态/CDN 或轻量 VM</t>
  </si>
  <si>
    <t>品牌官网、文档、钱包引导；可与 Explorer 分离部署</t>
  </si>
  <si>
    <t>基础设施</t>
  </si>
  <si>
    <t>负载均衡 / 反向代理</t>
  </si>
  <si>
    <t>SLB/Nginx</t>
  </si>
  <si>
    <t>HTTPS 终结、WAF、限流；统一域名入口</t>
  </si>
  <si>
    <t>监控告警</t>
  </si>
  <si>
    <t>Prometheus + Grafana</t>
  </si>
  <si>
    <t>节点高度、磁盘、CPU、出块延迟、Indexer 滞后</t>
  </si>
  <si>
    <t>备份与日志</t>
  </si>
  <si>
    <t>对象存储 + 快照</t>
  </si>
  <si>
    <t>Validator 密钥备份、链数据快照、DB 备份</t>
  </si>
  <si>
    <t>生产服务器详细清单（推荐配置）</t>
  </si>
  <si>
    <t>含 CPU/内存/磁盘/网络/端口/OS/软件栈</t>
  </si>
  <si>
    <t>序号</t>
  </si>
  <si>
    <t>角色</t>
  </si>
  <si>
    <t>主机名示例</t>
  </si>
  <si>
    <t>vCPU</t>
  </si>
  <si>
    <t>内存(GB)</t>
  </si>
  <si>
    <t>系统盘(GB)</t>
  </si>
  <si>
    <t>数据盘(GB)</t>
  </si>
  <si>
    <t>磁盘类型</t>
  </si>
  <si>
    <t>带宽(Mbps)</t>
  </si>
  <si>
    <t>公网IP</t>
  </si>
  <si>
    <t>操作系统</t>
  </si>
  <si>
    <t>核心软件</t>
  </si>
  <si>
    <t>开放端口</t>
  </si>
  <si>
    <t>部署目录/备注</t>
  </si>
  <si>
    <t>月参考价(¥)</t>
  </si>
  <si>
    <t>Validator</t>
  </si>
  <si>
    <t>ec-val-01 ~ ec-val-04</t>
  </si>
  <si>
    <t>16</t>
  </si>
  <si>
    <t>64</t>
  </si>
  <si>
    <t>100</t>
  </si>
  <si>
    <t>2000</t>
  </si>
  <si>
    <t>NVMe ESSD PL1</t>
  </si>
  <si>
    <t>50</t>
  </si>
  <si>
    <t>否(经Sentry)</t>
  </si>
  <si>
    <t>Ubuntu 22.04 LTS</t>
  </si>
  <si>
    <t>energychaind + cosmovisor + systemd</t>
  </si>
  <si>
    <t>26656(仅Sentry)</t>
  </si>
  <si>
    <t>~/.energychaind</t>
  </si>
  <si>
    <t>pruning=nothing；LimitNOFILE=65535；禁止 SSH 密码登录；HSM/冷备份助记词</t>
  </si>
  <si>
    <t>2,800</t>
  </si>
  <si>
    <t>Sentry</t>
  </si>
  <si>
    <t>ec-sentry-01 ~ 02</t>
  </si>
  <si>
    <t>8</t>
  </si>
  <si>
    <t>32</t>
  </si>
  <si>
    <t>80</t>
  </si>
  <si>
    <t>500</t>
  </si>
  <si>
    <t>200</t>
  </si>
  <si>
    <t>是(固定)</t>
  </si>
  <si>
    <t>energychaind (非验证者)</t>
  </si>
  <si>
    <t>26656</t>
  </si>
  <si>
    <t>P2P 入口；persistent_peers 指向 Validator</t>
  </si>
  <si>
    <t>1,200</t>
  </si>
  <si>
    <t>3</t>
  </si>
  <si>
    <t>Seed</t>
  </si>
  <si>
    <t>ec-seed-01 ~ 02</t>
  </si>
  <si>
    <t>SSD</t>
  </si>
  <si>
    <t>energychaind (seed mode)</t>
  </si>
  <si>
    <t>seed_mode=true；indexer=kv 可关</t>
  </si>
  <si>
    <t>350</t>
  </si>
  <si>
    <t>Full Node</t>
  </si>
  <si>
    <t>ec-full-01 ~ 02</t>
  </si>
  <si>
    <t>1500</t>
  </si>
  <si>
    <t>是</t>
  </si>
  <si>
    <t>energychaind + EVM JSON-RPC</t>
  </si>
  <si>
    <t>26657,1317,9090,8545,8546</t>
  </si>
  <si>
    <t>供 DEX/Explorer/钱包；可开 state-sync；pruning=default</t>
  </si>
  <si>
    <t>2,600</t>
  </si>
  <si>
    <t>5</t>
  </si>
  <si>
    <t>DEX 应用栈</t>
  </si>
  <si>
    <t>ec-dex-01</t>
  </si>
  <si>
    <t>800</t>
  </si>
  <si>
    <t>Docker: postgres+redis+indexer+api+web+nginx</t>
  </si>
  <si>
    <t>3001,8081,8090</t>
  </si>
  <si>
    <t>~/energychain/dex/deploy；Cosmos indexer 索引 x/market 等</t>
  </si>
  <si>
    <t>2,400</t>
  </si>
  <si>
    <t>6</t>
  </si>
  <si>
    <t>区块浏览器栈</t>
  </si>
  <si>
    <t>ec-explorer-01</t>
  </si>
  <si>
    <t>1000</t>
  </si>
  <si>
    <t>Docker: postgres+redis+indexer+api+web</t>
  </si>
  <si>
    <t>3000,8080</t>
  </si>
  <si>
    <t>~/energychain/explorer/deploy；全链+EVM+9模块索引</t>
  </si>
  <si>
    <t>7</t>
  </si>
  <si>
    <t>官网前端</t>
  </si>
  <si>
    <t>ec-web-01</t>
  </si>
  <si>
    <t>是(CDN更佳)</t>
  </si>
  <si>
    <t>Ubuntu 22.04 / 静态托管</t>
  </si>
  <si>
    <t>Nginx / Next.js SSR / OSS+CDN</t>
  </si>
  <si>
    <t>80,443</t>
  </si>
  <si>
    <t>品牌站、文档、下载页；建议 CDN 加速</t>
  </si>
  <si>
    <t>300</t>
  </si>
  <si>
    <t>负载均衡/WAF</t>
  </si>
  <si>
    <t>ec-lb-01</t>
  </si>
  <si>
    <t>40</t>
  </si>
  <si>
    <t>—</t>
  </si>
  <si>
    <t>按量</t>
  </si>
  <si>
    <t>云 SLB 或 Nginx</t>
  </si>
  <si>
    <t>SLB/Nginx + Certbot/Let's Encrypt</t>
  </si>
  <si>
    <t>api.explorer / dex / rpc 子域名分流</t>
  </si>
  <si>
    <t>9</t>
  </si>
  <si>
    <t>ec-mon-01</t>
  </si>
  <si>
    <t>内网</t>
  </si>
  <si>
    <t>Prometheus + Grafana + Alertmanager</t>
  </si>
  <si>
    <t>9090,3000</t>
  </si>
  <si>
    <t>采集各节点 exporter；Telegram/钉钉告警</t>
  </si>
  <si>
    <t>450</t>
  </si>
  <si>
    <t>10</t>
  </si>
  <si>
    <t>备份存储</t>
  </si>
  <si>
    <t>对象存储</t>
  </si>
  <si>
    <t>对象存储/OSS</t>
  </si>
  <si>
    <t>云 OSS/S3</t>
  </si>
  <si>
    <t>定时快照 + genesis/validator 密钥加密备份</t>
  </si>
  <si>
    <t>链数据 weekly 快照；DB daily 备份；保留 30 天</t>
  </si>
  <si>
    <t>400</t>
  </si>
  <si>
    <t>主流云厂商实例规格映射</t>
  </si>
  <si>
    <t>价格因区域/活动/合约而异，下表为 2026 年参考区间（人民币/月）</t>
  </si>
  <si>
    <t>阿里云 ECS</t>
  </si>
  <si>
    <t>腾讯云 CVM</t>
  </si>
  <si>
    <t>华为云 ECS</t>
  </si>
  <si>
    <t>AWS EC2 (新加坡)</t>
  </si>
  <si>
    <t>数据盘建议</t>
  </si>
  <si>
    <t>月价区间(¥)</t>
  </si>
  <si>
    <t>月价区间($)</t>
  </si>
  <si>
    <t>Validator ×4</t>
  </si>
  <si>
    <t>ecs.g7.4xlarge</t>
  </si>
  <si>
    <t>SA5.4XLARGE64</t>
  </si>
  <si>
    <t>c7.4xlarge.2</t>
  </si>
  <si>
    <t>m6i.4xlarge</t>
  </si>
  <si>
    <t>2TB ESSD PL1</t>
  </si>
  <si>
    <t>2,600~3,200</t>
  </si>
  <si>
    <t>360~440</t>
  </si>
  <si>
    <t>Sentry ×2</t>
  </si>
  <si>
    <t>ecs.g7.2xlarge</t>
  </si>
  <si>
    <t>SA5.2XLARGE32</t>
  </si>
  <si>
    <t>c7.2xlarge.2</t>
  </si>
  <si>
    <t>m6i.2xlarge</t>
  </si>
  <si>
    <t>500GB ESSD</t>
  </si>
  <si>
    <t>1,000~1,400</t>
  </si>
  <si>
    <t>140~195</t>
  </si>
  <si>
    <t>Seed ×2</t>
  </si>
  <si>
    <t>ecs.c7.xlarge</t>
  </si>
  <si>
    <t>SA5.LARGE8</t>
  </si>
  <si>
    <t>c7.xlarge.2</t>
  </si>
  <si>
    <t>t3.xlarge</t>
  </si>
  <si>
    <t>200GB SSD</t>
  </si>
  <si>
    <t>280~420</t>
  </si>
  <si>
    <t>40~60</t>
  </si>
  <si>
    <t>Full Node ×2</t>
  </si>
  <si>
    <t>1.5TB ESSD PL1</t>
  </si>
  <si>
    <t>2,400~3,000</t>
  </si>
  <si>
    <t>330~415</t>
  </si>
  <si>
    <t>DEX 栈 ×1</t>
  </si>
  <si>
    <t>800GB ESSD</t>
  </si>
  <si>
    <t>2,200~2,800</t>
  </si>
  <si>
    <t>305~385</t>
  </si>
  <si>
    <t>Explorer 栈 ×1</t>
  </si>
  <si>
    <t>1TB ESSD</t>
  </si>
  <si>
    <t>官网前端 ×1</t>
  </si>
  <si>
    <t>ecs.c7.large</t>
  </si>
  <si>
    <t>SA5.MEDIUM4</t>
  </si>
  <si>
    <t>c7.large.2</t>
  </si>
  <si>
    <t>t3.large</t>
  </si>
  <si>
    <t>2~4</t>
  </si>
  <si>
    <t>4~8</t>
  </si>
  <si>
    <t>100GB SSD</t>
  </si>
  <si>
    <t>150~350</t>
  </si>
  <si>
    <t>20~50</t>
  </si>
  <si>
    <t>SLB/WAF</t>
  </si>
  <si>
    <t>ALB + WAF 按量</t>
  </si>
  <si>
    <t>CLB + WAF</t>
  </si>
  <si>
    <t>ELB + WAF</t>
  </si>
  <si>
    <t>ALB + WAF</t>
  </si>
  <si>
    <t>400~800</t>
  </si>
  <si>
    <t>55~110</t>
  </si>
  <si>
    <t>监控 ×1</t>
  </si>
  <si>
    <t>SA5.LARGE16</t>
  </si>
  <si>
    <t>500GB SSD</t>
  </si>
  <si>
    <t>350~550</t>
  </si>
  <si>
    <t>50~75</t>
  </si>
  <si>
    <t>对象存储 2TB</t>
  </si>
  <si>
    <t>OSS 标准</t>
  </si>
  <si>
    <t>COS 标准</t>
  </si>
  <si>
    <t>OBS 标准</t>
  </si>
  <si>
    <t>S3 Standard</t>
  </si>
  <si>
    <t>2TB</t>
  </si>
  <si>
    <t>300~500</t>
  </si>
  <si>
    <t>40~70</t>
  </si>
  <si>
    <t>月度 / 年度费用汇总</t>
  </si>
  <si>
    <t>基于推荐配置与中位参考价估算</t>
  </si>
  <si>
    <t>费用类别</t>
  </si>
  <si>
    <t>明细</t>
  </si>
  <si>
    <t>单价(¥/月)</t>
  </si>
  <si>
    <t>小计(¥/月)</t>
  </si>
  <si>
    <t>小计(¥/年)</t>
  </si>
  <si>
    <t>备注</t>
  </si>
  <si>
    <t>计算资源</t>
  </si>
  <si>
    <t>Validator 节点</t>
  </si>
  <si>
    <t>核心共识，不可缩减</t>
  </si>
  <si>
    <t>Sentry 节点</t>
  </si>
  <si>
    <t xml:space="preserve"> 2 台跨可用区</t>
  </si>
  <si>
    <t>Seed 节点</t>
  </si>
  <si>
    <t>可 1 主 1 备</t>
  </si>
  <si>
    <t>RPC 高可用</t>
  </si>
  <si>
    <t>含 Docker 全家桶</t>
  </si>
  <si>
    <t>Explorer 应用栈</t>
  </si>
  <si>
    <t>全链索引</t>
  </si>
  <si>
    <t>可用 OSS+CDN 降至 ¥100</t>
  </si>
  <si>
    <t>网络与安全</t>
  </si>
  <si>
    <t>SLB + WAF + 公网带宽</t>
  </si>
  <si>
    <t>按 200Mbps 估算</t>
  </si>
  <si>
    <t>运维</t>
  </si>
  <si>
    <t>监控告警平台</t>
  </si>
  <si>
    <t/>
  </si>
  <si>
    <t>存储</t>
  </si>
  <si>
    <t>对象存储与快照</t>
  </si>
  <si>
    <t>2TB 标准存储</t>
  </si>
  <si>
    <t>一次性</t>
  </si>
  <si>
    <t>域名 + SSL 证书</t>
  </si>
  <si>
    <t>年费，多域名</t>
  </si>
  <si>
    <t>HSM / 密钥管理(可选)</t>
  </si>
  <si>
    <t>3,000</t>
  </si>
  <si>
    <t>Validator 密钥硬件保护</t>
  </si>
  <si>
    <t>月度基础设施合计</t>
  </si>
  <si>
    <t>网络拓扑与安全基线</t>
  </si>
  <si>
    <t>项目</t>
  </si>
  <si>
    <t>要求</t>
  </si>
  <si>
    <t>Validator 隔离</t>
  </si>
  <si>
    <t>仅内网/VPC 私网 IP</t>
  </si>
  <si>
    <t>Validator 不绑定公网 IP；26656 仅允许 Sentry 安全组</t>
  </si>
  <si>
    <t>Sentry 拓扑</t>
  </si>
  <si>
    <t>Validator ↔ Sentry ↔ 公网</t>
  </si>
  <si>
    <t>persistent_peers 单向；Sentry 可多 AZ</t>
  </si>
  <si>
    <t>固定公网 IP + DNS</t>
  </si>
  <si>
    <t>seed.explorer.yourdomain.com:26656</t>
  </si>
  <si>
    <t>Full Node RPC</t>
  </si>
  <si>
    <t>经 SLB + 限流 + API Key</t>
  </si>
  <si>
    <t>26657/1317/9090/8545/8546；禁止 admin 接口</t>
  </si>
  <si>
    <t>DEX 端口</t>
  </si>
  <si>
    <t>3001 Web / 8081 API / 8090 Nginx</t>
  </si>
  <si>
    <t>生产环境走 HTTPS 反代</t>
  </si>
  <si>
    <t>Explorer 端口</t>
  </si>
  <si>
    <t>3000 Web / 8080 API</t>
  </si>
  <si>
    <t>Indexer 7070 仅内网</t>
  </si>
  <si>
    <t>防火墙</t>
  </si>
  <si>
    <t>ufw / 安全组最小开放</t>
  </si>
  <si>
    <t>参考 deploy.sh：22,80,443,26656,26657,1317,8545,8546,9090,3000,3001,8080,8081,8090</t>
  </si>
  <si>
    <t>TLS</t>
  </si>
  <si>
    <t>Let's Encrypt 或云证书</t>
  </si>
  <si>
    <t>全站 HTTPS；HSTS</t>
  </si>
  <si>
    <t>密钥管理</t>
  </si>
  <si>
    <t>助记词离线 + 多签备份</t>
  </si>
  <si>
    <t>Validator 密钥禁止上云盘明文；考虑 HSM</t>
  </si>
  <si>
    <t>监控指标</t>
  </si>
  <si>
    <t>区块高度 / 磁盘 / peers / indexer lag</t>
  </si>
  <si>
    <t>告警：高度停滞 &gt;30s、磁盘 &gt;80%、Indexer 落后 &gt;100 块</t>
  </si>
  <si>
    <t>备份策略</t>
  </si>
  <si>
    <t>DB 日备 + 链快照周备</t>
  </si>
  <si>
    <t>RPO 24h / RTO 4h 目标</t>
  </si>
  <si>
    <t>高可用</t>
  </si>
  <si>
    <t>Full×2 + Sentry×2 + Seed×2</t>
  </si>
  <si>
    <t>单点故障不影响出块与 RPC</t>
  </si>
  <si>
    <t>各组件端口与服务对照</t>
  </si>
  <si>
    <t>与 chain/scripts/prod/deploy.sh 及 apps.sh 一致</t>
  </si>
  <si>
    <t>服务</t>
  </si>
  <si>
    <t>协议</t>
  </si>
  <si>
    <t>端口</t>
  </si>
  <si>
    <t>绑定地址</t>
  </si>
  <si>
    <t>用途</t>
  </si>
  <si>
    <t>是否公网暴露</t>
  </si>
  <si>
    <t>Tendermint P2P</t>
  </si>
  <si>
    <t>TCP</t>
  </si>
  <si>
    <t>0.0.0.0</t>
  </si>
  <si>
    <t>节点间区块同步</t>
  </si>
  <si>
    <t>Sentry/Seed/Full 是；Validator 否</t>
  </si>
  <si>
    <t>Tendermint RPC</t>
  </si>
  <si>
    <t>HTTP</t>
  </si>
  <si>
    <t>26657</t>
  </si>
  <si>
    <t>共识 RPC / status</t>
  </si>
  <si>
    <t>Full Node（限流）</t>
  </si>
  <si>
    <t>Cosmos REST</t>
  </si>
  <si>
    <t>1317</t>
  </si>
  <si>
    <t>LCD REST API</t>
  </si>
  <si>
    <t>gRPC</t>
  </si>
  <si>
    <t>HTTP/2</t>
  </si>
  <si>
    <t>9090</t>
  </si>
  <si>
    <t>Protobuf gRPC</t>
  </si>
  <si>
    <t>Full Node（内网/限流）</t>
  </si>
  <si>
    <t>EVM JSON-RPC</t>
  </si>
  <si>
    <t>8545</t>
  </si>
  <si>
    <t>以太坊兼容 RPC</t>
  </si>
  <si>
    <t>EVM WebSocket</t>
  </si>
  <si>
    <t>WS</t>
  </si>
  <si>
    <t>8546</t>
  </si>
  <si>
    <t>EVM 订阅</t>
  </si>
  <si>
    <t>Explorer Web</t>
  </si>
  <si>
    <t>3000</t>
  </si>
  <si>
    <t>区块浏览器前端</t>
  </si>
  <si>
    <t>是（HTTPS 反代）</t>
  </si>
  <si>
    <t>Explorer API</t>
  </si>
  <si>
    <t>HTTP/WS</t>
  </si>
  <si>
    <t>8080</t>
  </si>
  <si>
    <t>浏览器 REST + /ws</t>
  </si>
  <si>
    <t>Explorer Indexer</t>
  </si>
  <si>
    <t>7070</t>
  </si>
  <si>
    <t>Indexer metrics</t>
  </si>
  <si>
    <t>否</t>
  </si>
  <si>
    <t>DEX Web</t>
  </si>
  <si>
    <t>3001</t>
  </si>
  <si>
    <t>DEX 前端</t>
  </si>
  <si>
    <t>DEX API</t>
  </si>
  <si>
    <t>8081</t>
  </si>
  <si>
    <t>DEX REST + /ws</t>
  </si>
  <si>
    <t>DEX Nginx</t>
  </si>
  <si>
    <t>8090</t>
  </si>
  <si>
    <t>DEX 静态/反代</t>
  </si>
  <si>
    <t>Postgres (DEX)</t>
  </si>
  <si>
    <t>5432</t>
  </si>
  <si>
    <t>Docker 内网</t>
  </si>
  <si>
    <t>DEX 数据库</t>
  </si>
  <si>
    <t>Postgres (Explorer)</t>
  </si>
  <si>
    <t>55433</t>
  </si>
  <si>
    <t>宿主机映射</t>
  </si>
  <si>
    <t>Explorer DB（避免冲突）</t>
  </si>
  <si>
    <t>Redis</t>
  </si>
  <si>
    <t>6379/56380</t>
  </si>
  <si>
    <t>Docker/映射</t>
  </si>
  <si>
    <t>缓存</t>
  </si>
  <si>
    <t>SSH</t>
  </si>
  <si>
    <t>22</t>
  </si>
  <si>
    <t>管理网</t>
  </si>
  <si>
    <t>堡垒机/IP 白名单</t>
  </si>
  <si>
    <t>HTTPS</t>
  </si>
  <si>
    <t>443</t>
  </si>
  <si>
    <t>SLB</t>
  </si>
  <si>
    <t>统一入口</t>
  </si>
  <si>
    <t>上线前检查清单</t>
  </si>
  <si>
    <t>阶段</t>
  </si>
  <si>
    <t>检查项</t>
  </si>
  <si>
    <t>负责角色</t>
  </si>
  <si>
    <t>状态</t>
  </si>
  <si>
    <t>创世</t>
  </si>
  <si>
    <t>genesis.json SHA256 多方验证</t>
  </si>
  <si>
    <t>核心开发</t>
  </si>
  <si>
    <t>□</t>
  </si>
  <si>
    <t>4 验证者 gentx 收集并完成 03_finalize</t>
  </si>
  <si>
    <t>Validator 运营</t>
  </si>
  <si>
    <t>网络</t>
  </si>
  <si>
    <t>Validator 无公网 IP，仅连 Sentry</t>
  </si>
  <si>
    <t>DevOps</t>
  </si>
  <si>
    <t>Seed 固定 IP 写入文档与 default node config</t>
  </si>
  <si>
    <t>节点</t>
  </si>
  <si>
    <t>cosmovisor + systemd ec-node 自启动</t>
  </si>
  <si>
    <t>minimum-gas-prices=10000000000uecy</t>
  </si>
  <si>
    <t>pruning nothing (Validator) / default (Full)</t>
  </si>
  <si>
    <t>应用</t>
  </si>
  <si>
    <t>explorer + dex docker compose 迁移完成</t>
  </si>
  <si>
    <t>后端</t>
  </si>
  <si>
    <t>INDEXER_START_HEIGHT 与链高度一致</t>
  </si>
  <si>
    <t>安全</t>
  </si>
  <si>
    <t>防火墙/安全组最小端口</t>
  </si>
  <si>
    <t>Validator 助记词离线备份 ≥3 份</t>
  </si>
  <si>
    <t>监控</t>
  </si>
  <si>
    <t>Grafana 仪表盘 + 告警通道测试</t>
  </si>
  <si>
    <t>SRE</t>
  </si>
  <si>
    <t>备份</t>
  </si>
  <si>
    <t>Postgres 自动备份到 OSS 验证恢复</t>
  </si>
  <si>
    <t>DNS</t>
  </si>
  <si>
    <t>rpc / explorer / dex 子域名解析</t>
  </si>
  <si>
    <t>压测</t>
  </si>
  <si>
    <t>testpack.sh 全模块通过</t>
  </si>
  <si>
    <t>QA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</si>
</sst>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10" sqref="G10"/>
    </sheetView>
  </sheetViews>
  <sheetFormatPr defaultColWidth="9" defaultRowHeight="16.8" outlineLevelCol="4"/>
  <cols>
    <col min="1" max="1" width="14" customWidth="1"/>
    <col min="2" max="2" width="22" customWidth="1"/>
    <col min="3" max="3" width="8" customWidth="1"/>
    <col min="4" max="4" width="22" customWidth="1"/>
    <col min="5" max="5" width="55" customWidth="1"/>
  </cols>
  <sheetData>
    <row r="1" ht="20.4" spans="1:1">
      <c r="A1" s="1" t="s">
        <v>0</v>
      </c>
    </row>
    <row r="2" spans="1:1">
      <c r="A2" s="4" t="s">
        <v>1</v>
      </c>
    </row>
    <row r="4" ht="17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ht="34" spans="1: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ht="17" spans="1:5">
      <c r="A6" s="3" t="s">
        <v>7</v>
      </c>
      <c r="B6" s="3" t="s">
        <v>12</v>
      </c>
      <c r="C6" s="3" t="s">
        <v>13</v>
      </c>
      <c r="D6" s="3" t="s">
        <v>14</v>
      </c>
      <c r="E6" s="3" t="s">
        <v>15</v>
      </c>
    </row>
    <row r="7" ht="17" spans="1:5">
      <c r="A7" s="3" t="s">
        <v>16</v>
      </c>
      <c r="B7" s="3" t="s">
        <v>17</v>
      </c>
      <c r="C7" s="3" t="s">
        <v>13</v>
      </c>
      <c r="D7" s="3" t="s">
        <v>18</v>
      </c>
      <c r="E7" s="3" t="s">
        <v>19</v>
      </c>
    </row>
    <row r="8" ht="34" spans="1:5">
      <c r="A8" s="3" t="s">
        <v>16</v>
      </c>
      <c r="B8" s="3" t="s">
        <v>20</v>
      </c>
      <c r="C8" s="3" t="s">
        <v>13</v>
      </c>
      <c r="D8" s="3" t="s">
        <v>14</v>
      </c>
      <c r="E8" s="3" t="s">
        <v>21</v>
      </c>
    </row>
    <row r="9" ht="34" spans="1:5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</row>
    <row r="10" ht="17" spans="1:5">
      <c r="A10" s="3" t="s">
        <v>22</v>
      </c>
      <c r="B10" s="3" t="s">
        <v>27</v>
      </c>
      <c r="C10" s="3" t="s">
        <v>24</v>
      </c>
      <c r="D10" s="3" t="s">
        <v>25</v>
      </c>
      <c r="E10" s="3" t="s">
        <v>28</v>
      </c>
    </row>
    <row r="11" ht="17" spans="1:5">
      <c r="A11" s="3" t="s">
        <v>22</v>
      </c>
      <c r="B11" s="3" t="s">
        <v>29</v>
      </c>
      <c r="C11" s="3" t="s">
        <v>24</v>
      </c>
      <c r="D11" s="3" t="s">
        <v>30</v>
      </c>
      <c r="E11" s="3" t="s">
        <v>31</v>
      </c>
    </row>
    <row r="12" ht="17" spans="1:5">
      <c r="A12" s="3" t="s">
        <v>32</v>
      </c>
      <c r="B12" s="3" t="s">
        <v>33</v>
      </c>
      <c r="C12" s="3" t="s">
        <v>24</v>
      </c>
      <c r="D12" s="3" t="s">
        <v>34</v>
      </c>
      <c r="E12" s="3" t="s">
        <v>35</v>
      </c>
    </row>
    <row r="13" ht="17" spans="1:5">
      <c r="A13" s="3" t="s">
        <v>32</v>
      </c>
      <c r="B13" s="3" t="s">
        <v>36</v>
      </c>
      <c r="C13" s="3" t="s">
        <v>24</v>
      </c>
      <c r="D13" s="3" t="s">
        <v>37</v>
      </c>
      <c r="E13" s="3" t="s">
        <v>38</v>
      </c>
    </row>
    <row r="14" ht="17" spans="1:5">
      <c r="A14" s="3" t="s">
        <v>32</v>
      </c>
      <c r="B14" s="3" t="s">
        <v>39</v>
      </c>
      <c r="C14" s="3" t="s">
        <v>24</v>
      </c>
      <c r="D14" s="3" t="s">
        <v>40</v>
      </c>
      <c r="E14" s="3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7" workbookViewId="0">
      <selection activeCell="A1" sqref="A1"/>
    </sheetView>
  </sheetViews>
  <sheetFormatPr defaultColWidth="9" defaultRowHeight="16.8"/>
  <cols>
    <col min="1" max="1" width="6" customWidth="1"/>
    <col min="2" max="2" width="12" customWidth="1"/>
    <col min="3" max="3" width="18" customWidth="1"/>
    <col min="4" max="5" width="6" customWidth="1"/>
    <col min="6" max="8" width="8" customWidth="1"/>
    <col min="9" max="9" width="14" customWidth="1"/>
    <col min="10" max="11" width="10" customWidth="1"/>
    <col min="12" max="12" width="14" customWidth="1"/>
    <col min="13" max="13" width="28" customWidth="1"/>
    <col min="14" max="14" width="18" customWidth="1"/>
    <col min="15" max="15" width="32" customWidth="1"/>
    <col min="16" max="16" width="12" customWidth="1"/>
  </cols>
  <sheetData>
    <row r="1" ht="20.4" spans="1:1">
      <c r="A1" s="1" t="s">
        <v>42</v>
      </c>
    </row>
    <row r="2" spans="1:1">
      <c r="A2" s="4" t="s">
        <v>43</v>
      </c>
    </row>
    <row r="4" ht="34" spans="1:16">
      <c r="A4" s="2" t="s">
        <v>44</v>
      </c>
      <c r="B4" s="2" t="s">
        <v>45</v>
      </c>
      <c r="C4" s="2" t="s">
        <v>46</v>
      </c>
      <c r="D4" s="2" t="s">
        <v>4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</row>
    <row r="5" ht="135" spans="1:17">
      <c r="A5" s="3" t="s">
        <v>24</v>
      </c>
      <c r="B5" s="3" t="s">
        <v>59</v>
      </c>
      <c r="C5" s="3" t="s">
        <v>60</v>
      </c>
      <c r="D5" s="3" t="s">
        <v>9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t="s">
        <v>73</v>
      </c>
    </row>
    <row r="6" ht="34" spans="1:16">
      <c r="A6" s="3" t="s">
        <v>13</v>
      </c>
      <c r="B6" s="3" t="s">
        <v>74</v>
      </c>
      <c r="C6" s="3" t="s">
        <v>75</v>
      </c>
      <c r="D6" s="3" t="s">
        <v>13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65</v>
      </c>
      <c r="J6" s="3" t="s">
        <v>80</v>
      </c>
      <c r="K6" s="3" t="s">
        <v>81</v>
      </c>
      <c r="L6" s="3" t="s">
        <v>68</v>
      </c>
      <c r="M6" s="3" t="s">
        <v>82</v>
      </c>
      <c r="N6" s="3" t="s">
        <v>83</v>
      </c>
      <c r="O6" s="3" t="s">
        <v>84</v>
      </c>
      <c r="P6" s="3" t="s">
        <v>85</v>
      </c>
    </row>
    <row r="7" ht="34" spans="1:16">
      <c r="A7" s="3" t="s">
        <v>86</v>
      </c>
      <c r="B7" s="3" t="s">
        <v>87</v>
      </c>
      <c r="C7" s="3" t="s">
        <v>88</v>
      </c>
      <c r="D7" s="3" t="s">
        <v>13</v>
      </c>
      <c r="E7" s="3" t="s">
        <v>9</v>
      </c>
      <c r="F7" s="3" t="s">
        <v>76</v>
      </c>
      <c r="G7" s="3" t="s">
        <v>78</v>
      </c>
      <c r="H7" s="3" t="s">
        <v>80</v>
      </c>
      <c r="I7" s="3" t="s">
        <v>89</v>
      </c>
      <c r="J7" s="3" t="s">
        <v>63</v>
      </c>
      <c r="K7" s="3" t="s">
        <v>81</v>
      </c>
      <c r="L7" s="3" t="s">
        <v>68</v>
      </c>
      <c r="M7" s="3" t="s">
        <v>90</v>
      </c>
      <c r="N7" s="3" t="s">
        <v>83</v>
      </c>
      <c r="O7" s="3" t="s">
        <v>91</v>
      </c>
      <c r="P7" s="3" t="s">
        <v>92</v>
      </c>
    </row>
    <row r="8" ht="34" spans="1:16">
      <c r="A8" s="3" t="s">
        <v>9</v>
      </c>
      <c r="B8" s="3" t="s">
        <v>93</v>
      </c>
      <c r="C8" s="3" t="s">
        <v>94</v>
      </c>
      <c r="D8" s="3" t="s">
        <v>13</v>
      </c>
      <c r="E8" s="3" t="s">
        <v>61</v>
      </c>
      <c r="F8" s="3" t="s">
        <v>62</v>
      </c>
      <c r="G8" s="3" t="s">
        <v>63</v>
      </c>
      <c r="H8" s="3" t="s">
        <v>95</v>
      </c>
      <c r="I8" s="3" t="s">
        <v>65</v>
      </c>
      <c r="J8" s="3" t="s">
        <v>80</v>
      </c>
      <c r="K8" s="3" t="s">
        <v>96</v>
      </c>
      <c r="L8" s="3" t="s">
        <v>68</v>
      </c>
      <c r="M8" s="3" t="s">
        <v>97</v>
      </c>
      <c r="N8" s="3" t="s">
        <v>98</v>
      </c>
      <c r="O8" s="3" t="s">
        <v>99</v>
      </c>
      <c r="P8" s="3" t="s">
        <v>100</v>
      </c>
    </row>
    <row r="9" ht="51" spans="1:16">
      <c r="A9" s="3" t="s">
        <v>101</v>
      </c>
      <c r="B9" s="3" t="s">
        <v>102</v>
      </c>
      <c r="C9" s="3" t="s">
        <v>103</v>
      </c>
      <c r="D9" s="3" t="s">
        <v>24</v>
      </c>
      <c r="E9" s="3" t="s">
        <v>61</v>
      </c>
      <c r="F9" s="3" t="s">
        <v>62</v>
      </c>
      <c r="G9" s="3" t="s">
        <v>63</v>
      </c>
      <c r="H9" s="3" t="s">
        <v>104</v>
      </c>
      <c r="I9" s="3" t="s">
        <v>65</v>
      </c>
      <c r="J9" s="3" t="s">
        <v>80</v>
      </c>
      <c r="K9" s="3" t="s">
        <v>96</v>
      </c>
      <c r="L9" s="3" t="s">
        <v>68</v>
      </c>
      <c r="M9" s="3" t="s">
        <v>105</v>
      </c>
      <c r="N9" s="3" t="s">
        <v>106</v>
      </c>
      <c r="O9" s="3" t="s">
        <v>107</v>
      </c>
      <c r="P9" s="3" t="s">
        <v>108</v>
      </c>
    </row>
    <row r="10" ht="51" spans="1:16">
      <c r="A10" s="3" t="s">
        <v>109</v>
      </c>
      <c r="B10" s="3" t="s">
        <v>110</v>
      </c>
      <c r="C10" s="3" t="s">
        <v>111</v>
      </c>
      <c r="D10" s="3" t="s">
        <v>24</v>
      </c>
      <c r="E10" s="3" t="s">
        <v>61</v>
      </c>
      <c r="F10" s="3" t="s">
        <v>62</v>
      </c>
      <c r="G10" s="3" t="s">
        <v>63</v>
      </c>
      <c r="H10" s="3" t="s">
        <v>112</v>
      </c>
      <c r="I10" s="3" t="s">
        <v>65</v>
      </c>
      <c r="J10" s="3" t="s">
        <v>80</v>
      </c>
      <c r="K10" s="3" t="s">
        <v>96</v>
      </c>
      <c r="L10" s="3" t="s">
        <v>68</v>
      </c>
      <c r="M10" s="3" t="s">
        <v>113</v>
      </c>
      <c r="N10" s="3" t="s">
        <v>114</v>
      </c>
      <c r="O10" s="3" t="s">
        <v>115</v>
      </c>
      <c r="P10" s="3" t="s">
        <v>108</v>
      </c>
    </row>
    <row r="11" ht="34" spans="1:16">
      <c r="A11" s="3" t="s">
        <v>116</v>
      </c>
      <c r="B11" s="3" t="s">
        <v>117</v>
      </c>
      <c r="C11" s="3" t="s">
        <v>118</v>
      </c>
      <c r="D11" s="3" t="s">
        <v>24</v>
      </c>
      <c r="E11" s="3" t="s">
        <v>9</v>
      </c>
      <c r="F11" s="3" t="s">
        <v>76</v>
      </c>
      <c r="G11" s="3" t="s">
        <v>78</v>
      </c>
      <c r="H11" s="3" t="s">
        <v>63</v>
      </c>
      <c r="I11" s="3" t="s">
        <v>89</v>
      </c>
      <c r="J11" s="3" t="s">
        <v>63</v>
      </c>
      <c r="K11" s="3" t="s">
        <v>119</v>
      </c>
      <c r="L11" s="3" t="s">
        <v>120</v>
      </c>
      <c r="M11" s="3" t="s">
        <v>121</v>
      </c>
      <c r="N11" s="3" t="s">
        <v>122</v>
      </c>
      <c r="O11" s="3" t="s">
        <v>123</v>
      </c>
      <c r="P11" s="3" t="s">
        <v>124</v>
      </c>
    </row>
    <row r="12" ht="34" spans="1:16">
      <c r="A12" s="3" t="s">
        <v>76</v>
      </c>
      <c r="B12" s="3" t="s">
        <v>125</v>
      </c>
      <c r="C12" s="3" t="s">
        <v>126</v>
      </c>
      <c r="D12" s="3" t="s">
        <v>24</v>
      </c>
      <c r="E12" s="3" t="s">
        <v>9</v>
      </c>
      <c r="F12" s="3" t="s">
        <v>76</v>
      </c>
      <c r="G12" s="3" t="s">
        <v>127</v>
      </c>
      <c r="H12" s="3" t="s">
        <v>128</v>
      </c>
      <c r="I12" s="3" t="s">
        <v>128</v>
      </c>
      <c r="J12" s="3" t="s">
        <v>129</v>
      </c>
      <c r="K12" s="3" t="s">
        <v>96</v>
      </c>
      <c r="L12" s="3" t="s">
        <v>130</v>
      </c>
      <c r="M12" s="3" t="s">
        <v>131</v>
      </c>
      <c r="N12" s="3" t="s">
        <v>122</v>
      </c>
      <c r="O12" s="3" t="s">
        <v>132</v>
      </c>
      <c r="P12" s="3" t="s">
        <v>79</v>
      </c>
    </row>
    <row r="13" ht="34" spans="1:16">
      <c r="A13" s="3" t="s">
        <v>133</v>
      </c>
      <c r="B13" s="3" t="s">
        <v>36</v>
      </c>
      <c r="C13" s="3" t="s">
        <v>134</v>
      </c>
      <c r="D13" s="3" t="s">
        <v>24</v>
      </c>
      <c r="E13" s="3" t="s">
        <v>9</v>
      </c>
      <c r="F13" s="3" t="s">
        <v>61</v>
      </c>
      <c r="G13" s="3" t="s">
        <v>78</v>
      </c>
      <c r="H13" s="3" t="s">
        <v>79</v>
      </c>
      <c r="I13" s="3" t="s">
        <v>89</v>
      </c>
      <c r="J13" s="3" t="s">
        <v>66</v>
      </c>
      <c r="K13" s="3" t="s">
        <v>135</v>
      </c>
      <c r="L13" s="3" t="s">
        <v>68</v>
      </c>
      <c r="M13" s="3" t="s">
        <v>136</v>
      </c>
      <c r="N13" s="3" t="s">
        <v>137</v>
      </c>
      <c r="O13" s="3" t="s">
        <v>138</v>
      </c>
      <c r="P13" s="3" t="s">
        <v>139</v>
      </c>
    </row>
    <row r="14" ht="34" spans="1:16">
      <c r="A14" s="3" t="s">
        <v>140</v>
      </c>
      <c r="B14" s="3" t="s">
        <v>141</v>
      </c>
      <c r="C14" s="3" t="s">
        <v>142</v>
      </c>
      <c r="D14" s="3" t="s">
        <v>24</v>
      </c>
      <c r="E14" s="3" t="s">
        <v>128</v>
      </c>
      <c r="F14" s="3" t="s">
        <v>128</v>
      </c>
      <c r="G14" s="3" t="s">
        <v>128</v>
      </c>
      <c r="H14" s="3" t="s">
        <v>64</v>
      </c>
      <c r="I14" s="3" t="s">
        <v>143</v>
      </c>
      <c r="J14" s="3" t="s">
        <v>128</v>
      </c>
      <c r="K14" s="3" t="s">
        <v>128</v>
      </c>
      <c r="L14" s="3" t="s">
        <v>144</v>
      </c>
      <c r="M14" s="3" t="s">
        <v>145</v>
      </c>
      <c r="N14" s="3" t="s">
        <v>128</v>
      </c>
      <c r="O14" s="3" t="s">
        <v>146</v>
      </c>
      <c r="P14" s="3" t="s">
        <v>147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"/>
    </sheetView>
  </sheetViews>
  <sheetFormatPr defaultColWidth="9" defaultRowHeight="16.8"/>
  <cols>
    <col min="1" max="1" width="14" customWidth="1"/>
    <col min="2" max="3" width="18" customWidth="1"/>
    <col min="4" max="4" width="16" customWidth="1"/>
    <col min="5" max="5" width="20" customWidth="1"/>
    <col min="6" max="7" width="8" customWidth="1"/>
    <col min="8" max="9" width="14" customWidth="1"/>
    <col min="10" max="10" width="12" customWidth="1"/>
  </cols>
  <sheetData>
    <row r="1" ht="20.4" spans="1:1">
      <c r="A1" s="1" t="s">
        <v>148</v>
      </c>
    </row>
    <row r="2" spans="1:1">
      <c r="A2" s="4" t="s">
        <v>149</v>
      </c>
    </row>
    <row r="4" ht="34" spans="1:10">
      <c r="A4" s="2" t="s">
        <v>45</v>
      </c>
      <c r="B4" s="2" t="s">
        <v>150</v>
      </c>
      <c r="C4" s="2" t="s">
        <v>151</v>
      </c>
      <c r="D4" s="2" t="s">
        <v>152</v>
      </c>
      <c r="E4" s="2" t="s">
        <v>153</v>
      </c>
      <c r="F4" s="2" t="s">
        <v>47</v>
      </c>
      <c r="G4" s="2" t="s">
        <v>48</v>
      </c>
      <c r="H4" s="2" t="s">
        <v>154</v>
      </c>
      <c r="I4" s="2" t="s">
        <v>155</v>
      </c>
      <c r="J4" s="2" t="s">
        <v>156</v>
      </c>
    </row>
    <row r="5" ht="34" spans="1:10">
      <c r="A5" s="3" t="s">
        <v>157</v>
      </c>
      <c r="B5" s="3" t="s">
        <v>158</v>
      </c>
      <c r="C5" s="3" t="s">
        <v>159</v>
      </c>
      <c r="D5" s="3" t="s">
        <v>160</v>
      </c>
      <c r="E5" s="3" t="s">
        <v>161</v>
      </c>
      <c r="F5" s="3" t="s">
        <v>61</v>
      </c>
      <c r="G5" s="3" t="s">
        <v>62</v>
      </c>
      <c r="H5" s="3" t="s">
        <v>162</v>
      </c>
      <c r="I5" s="3" t="s">
        <v>163</v>
      </c>
      <c r="J5" s="3" t="s">
        <v>164</v>
      </c>
    </row>
    <row r="6" ht="17" spans="1:10">
      <c r="A6" s="3" t="s">
        <v>165</v>
      </c>
      <c r="B6" s="3" t="s">
        <v>166</v>
      </c>
      <c r="C6" s="3" t="s">
        <v>167</v>
      </c>
      <c r="D6" s="3" t="s">
        <v>168</v>
      </c>
      <c r="E6" s="3" t="s">
        <v>169</v>
      </c>
      <c r="F6" s="3" t="s">
        <v>76</v>
      </c>
      <c r="G6" s="3" t="s">
        <v>77</v>
      </c>
      <c r="H6" s="3" t="s">
        <v>170</v>
      </c>
      <c r="I6" s="3" t="s">
        <v>171</v>
      </c>
      <c r="J6" s="3" t="s">
        <v>172</v>
      </c>
    </row>
    <row r="7" ht="17" spans="1:10">
      <c r="A7" s="3" t="s">
        <v>173</v>
      </c>
      <c r="B7" s="3" t="s">
        <v>174</v>
      </c>
      <c r="C7" s="3" t="s">
        <v>175</v>
      </c>
      <c r="D7" s="3" t="s">
        <v>176</v>
      </c>
      <c r="E7" s="3" t="s">
        <v>177</v>
      </c>
      <c r="F7" s="3" t="s">
        <v>9</v>
      </c>
      <c r="G7" s="3" t="s">
        <v>76</v>
      </c>
      <c r="H7" s="3" t="s">
        <v>178</v>
      </c>
      <c r="I7" s="3" t="s">
        <v>179</v>
      </c>
      <c r="J7" s="3" t="s">
        <v>180</v>
      </c>
    </row>
    <row r="8" ht="34" spans="1:10">
      <c r="A8" s="3" t="s">
        <v>181</v>
      </c>
      <c r="B8" s="3" t="s">
        <v>158</v>
      </c>
      <c r="C8" s="3" t="s">
        <v>159</v>
      </c>
      <c r="D8" s="3" t="s">
        <v>160</v>
      </c>
      <c r="E8" s="3" t="s">
        <v>161</v>
      </c>
      <c r="F8" s="3" t="s">
        <v>61</v>
      </c>
      <c r="G8" s="3" t="s">
        <v>62</v>
      </c>
      <c r="H8" s="3" t="s">
        <v>182</v>
      </c>
      <c r="I8" s="3" t="s">
        <v>183</v>
      </c>
      <c r="J8" s="3" t="s">
        <v>184</v>
      </c>
    </row>
    <row r="9" ht="17" spans="1:10">
      <c r="A9" s="3" t="s">
        <v>185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61</v>
      </c>
      <c r="G9" s="3" t="s">
        <v>62</v>
      </c>
      <c r="H9" s="3" t="s">
        <v>186</v>
      </c>
      <c r="I9" s="3" t="s">
        <v>187</v>
      </c>
      <c r="J9" s="3" t="s">
        <v>188</v>
      </c>
    </row>
    <row r="10" ht="34" spans="1:10">
      <c r="A10" s="3" t="s">
        <v>189</v>
      </c>
      <c r="B10" s="3" t="s">
        <v>158</v>
      </c>
      <c r="C10" s="3" t="s">
        <v>159</v>
      </c>
      <c r="D10" s="3" t="s">
        <v>160</v>
      </c>
      <c r="E10" s="3" t="s">
        <v>161</v>
      </c>
      <c r="F10" s="3" t="s">
        <v>61</v>
      </c>
      <c r="G10" s="3" t="s">
        <v>62</v>
      </c>
      <c r="H10" s="3" t="s">
        <v>190</v>
      </c>
      <c r="I10" s="3" t="s">
        <v>187</v>
      </c>
      <c r="J10" s="3" t="s">
        <v>188</v>
      </c>
    </row>
    <row r="11" ht="17" spans="1:10">
      <c r="A11" s="3" t="s">
        <v>191</v>
      </c>
      <c r="B11" s="3" t="s">
        <v>192</v>
      </c>
      <c r="C11" s="3" t="s">
        <v>193</v>
      </c>
      <c r="D11" s="3" t="s">
        <v>194</v>
      </c>
      <c r="E11" s="3" t="s">
        <v>195</v>
      </c>
      <c r="F11" s="3" t="s">
        <v>196</v>
      </c>
      <c r="G11" s="3" t="s">
        <v>197</v>
      </c>
      <c r="H11" s="3" t="s">
        <v>198</v>
      </c>
      <c r="I11" s="3" t="s">
        <v>199</v>
      </c>
      <c r="J11" s="3" t="s">
        <v>200</v>
      </c>
    </row>
    <row r="12" ht="17" spans="1:10">
      <c r="A12" s="3" t="s">
        <v>201</v>
      </c>
      <c r="B12" s="3" t="s">
        <v>202</v>
      </c>
      <c r="C12" s="3" t="s">
        <v>203</v>
      </c>
      <c r="D12" s="3" t="s">
        <v>204</v>
      </c>
      <c r="E12" s="3" t="s">
        <v>205</v>
      </c>
      <c r="F12" s="3" t="s">
        <v>128</v>
      </c>
      <c r="G12" s="3" t="s">
        <v>128</v>
      </c>
      <c r="H12" s="3" t="s">
        <v>128</v>
      </c>
      <c r="I12" s="3" t="s">
        <v>206</v>
      </c>
      <c r="J12" s="3" t="s">
        <v>207</v>
      </c>
    </row>
    <row r="13" ht="17" spans="1:10">
      <c r="A13" s="3" t="s">
        <v>208</v>
      </c>
      <c r="B13" s="3" t="s">
        <v>174</v>
      </c>
      <c r="C13" s="3" t="s">
        <v>209</v>
      </c>
      <c r="D13" s="3" t="s">
        <v>176</v>
      </c>
      <c r="E13" s="3" t="s">
        <v>177</v>
      </c>
      <c r="F13" s="3" t="s">
        <v>9</v>
      </c>
      <c r="G13" s="3" t="s">
        <v>61</v>
      </c>
      <c r="H13" s="3" t="s">
        <v>210</v>
      </c>
      <c r="I13" s="3" t="s">
        <v>211</v>
      </c>
      <c r="J13" s="3" t="s">
        <v>212</v>
      </c>
    </row>
    <row r="14" ht="17" spans="1:10">
      <c r="A14" s="3" t="s">
        <v>213</v>
      </c>
      <c r="B14" s="3" t="s">
        <v>214</v>
      </c>
      <c r="C14" s="3" t="s">
        <v>215</v>
      </c>
      <c r="D14" s="3" t="s">
        <v>216</v>
      </c>
      <c r="E14" s="3" t="s">
        <v>217</v>
      </c>
      <c r="F14" s="3" t="s">
        <v>128</v>
      </c>
      <c r="G14" s="3" t="s">
        <v>128</v>
      </c>
      <c r="H14" s="3" t="s">
        <v>218</v>
      </c>
      <c r="I14" s="3" t="s">
        <v>219</v>
      </c>
      <c r="J14" s="3" t="s">
        <v>220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I13" sqref="I13"/>
    </sheetView>
  </sheetViews>
  <sheetFormatPr defaultColWidth="9" defaultRowHeight="16.8" outlineLevelCol="6"/>
  <cols>
    <col min="1" max="1" width="14" customWidth="1"/>
    <col min="2" max="2" width="22" customWidth="1"/>
    <col min="3" max="3" width="8" customWidth="1"/>
    <col min="4" max="4" width="12" customWidth="1"/>
    <col min="5" max="6" width="14" customWidth="1"/>
    <col min="7" max="7" width="28" customWidth="1"/>
  </cols>
  <sheetData>
    <row r="1" ht="20.4" spans="1:1">
      <c r="A1" s="1" t="s">
        <v>221</v>
      </c>
    </row>
    <row r="2" spans="1:1">
      <c r="A2" s="4" t="s">
        <v>222</v>
      </c>
    </row>
    <row r="4" ht="17" spans="1:7">
      <c r="A4" s="2" t="s">
        <v>223</v>
      </c>
      <c r="B4" s="2" t="s">
        <v>224</v>
      </c>
      <c r="C4" s="2" t="s">
        <v>4</v>
      </c>
      <c r="D4" s="2" t="s">
        <v>225</v>
      </c>
      <c r="E4" s="2" t="s">
        <v>226</v>
      </c>
      <c r="F4" s="2" t="s">
        <v>227</v>
      </c>
      <c r="G4" s="2" t="s">
        <v>228</v>
      </c>
    </row>
    <row r="5" ht="17" spans="1:7">
      <c r="A5" s="3" t="s">
        <v>229</v>
      </c>
      <c r="B5" s="3" t="s">
        <v>230</v>
      </c>
      <c r="C5" s="3" t="s">
        <v>9</v>
      </c>
      <c r="D5" s="3" t="s">
        <v>73</v>
      </c>
      <c r="E5" s="3">
        <f t="shared" ref="E5:E14" si="0">D5*C5</f>
        <v>11200</v>
      </c>
      <c r="F5" s="3">
        <f t="shared" ref="F5:F14" si="1">E5*12</f>
        <v>134400</v>
      </c>
      <c r="G5" s="3" t="s">
        <v>231</v>
      </c>
    </row>
    <row r="6" ht="17" spans="1:7">
      <c r="A6" s="3" t="s">
        <v>229</v>
      </c>
      <c r="B6" s="3" t="s">
        <v>232</v>
      </c>
      <c r="C6" s="3" t="s">
        <v>13</v>
      </c>
      <c r="D6" s="3" t="s">
        <v>85</v>
      </c>
      <c r="E6" s="3">
        <f t="shared" si="0"/>
        <v>2400</v>
      </c>
      <c r="F6" s="3">
        <f t="shared" si="1"/>
        <v>28800</v>
      </c>
      <c r="G6" s="3" t="s">
        <v>233</v>
      </c>
    </row>
    <row r="7" ht="17" spans="1:7">
      <c r="A7" s="3" t="s">
        <v>229</v>
      </c>
      <c r="B7" s="3" t="s">
        <v>234</v>
      </c>
      <c r="C7" s="3" t="s">
        <v>13</v>
      </c>
      <c r="D7" s="3" t="s">
        <v>92</v>
      </c>
      <c r="E7" s="3">
        <f t="shared" si="0"/>
        <v>700</v>
      </c>
      <c r="F7" s="3">
        <f t="shared" si="1"/>
        <v>8400</v>
      </c>
      <c r="G7" s="3" t="s">
        <v>235</v>
      </c>
    </row>
    <row r="8" ht="17" spans="1:7">
      <c r="A8" s="3" t="s">
        <v>229</v>
      </c>
      <c r="B8" s="3" t="s">
        <v>93</v>
      </c>
      <c r="C8" s="3" t="s">
        <v>13</v>
      </c>
      <c r="D8" s="3" t="s">
        <v>100</v>
      </c>
      <c r="E8" s="3">
        <f t="shared" si="0"/>
        <v>5200</v>
      </c>
      <c r="F8" s="3">
        <f t="shared" si="1"/>
        <v>62400</v>
      </c>
      <c r="G8" s="3" t="s">
        <v>236</v>
      </c>
    </row>
    <row r="9" ht="17" spans="1:7">
      <c r="A9" s="3" t="s">
        <v>229</v>
      </c>
      <c r="B9" s="3" t="s">
        <v>102</v>
      </c>
      <c r="C9" s="3" t="s">
        <v>24</v>
      </c>
      <c r="D9" s="3" t="s">
        <v>108</v>
      </c>
      <c r="E9" s="3">
        <f t="shared" si="0"/>
        <v>2400</v>
      </c>
      <c r="F9" s="3">
        <f t="shared" si="1"/>
        <v>28800</v>
      </c>
      <c r="G9" s="3" t="s">
        <v>237</v>
      </c>
    </row>
    <row r="10" ht="17" spans="1:7">
      <c r="A10" s="3" t="s">
        <v>229</v>
      </c>
      <c r="B10" s="3" t="s">
        <v>238</v>
      </c>
      <c r="C10" s="3" t="s">
        <v>24</v>
      </c>
      <c r="D10" s="3" t="s">
        <v>108</v>
      </c>
      <c r="E10" s="3">
        <f t="shared" si="0"/>
        <v>2400</v>
      </c>
      <c r="F10" s="3">
        <f t="shared" si="1"/>
        <v>28800</v>
      </c>
      <c r="G10" s="3" t="s">
        <v>239</v>
      </c>
    </row>
    <row r="11" ht="17" spans="1:7">
      <c r="A11" s="3" t="s">
        <v>229</v>
      </c>
      <c r="B11" s="3" t="s">
        <v>117</v>
      </c>
      <c r="C11" s="3" t="s">
        <v>24</v>
      </c>
      <c r="D11" s="3" t="s">
        <v>124</v>
      </c>
      <c r="E11" s="3">
        <f t="shared" si="0"/>
        <v>300</v>
      </c>
      <c r="F11" s="3">
        <f t="shared" si="1"/>
        <v>3600</v>
      </c>
      <c r="G11" s="3" t="s">
        <v>240</v>
      </c>
    </row>
    <row r="12" ht="34" spans="1:7">
      <c r="A12" s="3" t="s">
        <v>241</v>
      </c>
      <c r="B12" s="3" t="s">
        <v>242</v>
      </c>
      <c r="C12" s="3" t="s">
        <v>24</v>
      </c>
      <c r="D12" s="3" t="s">
        <v>104</v>
      </c>
      <c r="E12" s="3">
        <f t="shared" si="0"/>
        <v>800</v>
      </c>
      <c r="F12" s="3">
        <f t="shared" si="1"/>
        <v>9600</v>
      </c>
      <c r="G12" s="3" t="s">
        <v>243</v>
      </c>
    </row>
    <row r="13" ht="17" spans="1:7">
      <c r="A13" s="3" t="s">
        <v>244</v>
      </c>
      <c r="B13" s="3" t="s">
        <v>245</v>
      </c>
      <c r="C13" s="3" t="s">
        <v>24</v>
      </c>
      <c r="D13" s="3" t="s">
        <v>139</v>
      </c>
      <c r="E13" s="3">
        <f t="shared" si="0"/>
        <v>450</v>
      </c>
      <c r="F13" s="3">
        <f t="shared" si="1"/>
        <v>5400</v>
      </c>
      <c r="G13" s="3" t="s">
        <v>246</v>
      </c>
    </row>
    <row r="14" ht="17" spans="1:7">
      <c r="A14" s="3" t="s">
        <v>247</v>
      </c>
      <c r="B14" s="3" t="s">
        <v>248</v>
      </c>
      <c r="C14" s="3" t="s">
        <v>24</v>
      </c>
      <c r="D14" s="3" t="s">
        <v>147</v>
      </c>
      <c r="E14" s="3">
        <f t="shared" si="0"/>
        <v>400</v>
      </c>
      <c r="F14" s="3">
        <f t="shared" si="1"/>
        <v>4800</v>
      </c>
      <c r="G14" s="3" t="s">
        <v>249</v>
      </c>
    </row>
    <row r="15" ht="17" spans="1:7">
      <c r="A15" s="3" t="s">
        <v>250</v>
      </c>
      <c r="B15" s="3" t="s">
        <v>251</v>
      </c>
      <c r="C15" s="3" t="s">
        <v>128</v>
      </c>
      <c r="D15" s="3" t="s">
        <v>128</v>
      </c>
      <c r="E15" s="3" t="s">
        <v>79</v>
      </c>
      <c r="F15" s="3" t="s">
        <v>79</v>
      </c>
      <c r="G15" s="3" t="s">
        <v>252</v>
      </c>
    </row>
    <row r="16" ht="17" spans="1:7">
      <c r="A16" s="3" t="s">
        <v>250</v>
      </c>
      <c r="B16" s="3" t="s">
        <v>253</v>
      </c>
      <c r="C16" s="3" t="s">
        <v>128</v>
      </c>
      <c r="D16" s="3" t="s">
        <v>128</v>
      </c>
      <c r="E16" s="3" t="s">
        <v>254</v>
      </c>
      <c r="F16" s="3" t="s">
        <v>254</v>
      </c>
      <c r="G16" s="3" t="s">
        <v>255</v>
      </c>
    </row>
    <row r="17" ht="34" spans="1:7">
      <c r="A17" s="5" t="s">
        <v>256</v>
      </c>
      <c r="B17" s="3"/>
      <c r="C17" s="3"/>
      <c r="D17" s="3"/>
      <c r="E17" s="5">
        <f>SUM(E5:E14)</f>
        <v>26250</v>
      </c>
      <c r="F17" s="5">
        <f>SUM(F5:F14)</f>
        <v>315000</v>
      </c>
      <c r="G17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8" sqref="C18"/>
    </sheetView>
  </sheetViews>
  <sheetFormatPr defaultColWidth="9" defaultRowHeight="16.8" outlineLevelCol="2"/>
  <cols>
    <col min="1" max="1" width="18" customWidth="1"/>
    <col min="2" max="2" width="35" customWidth="1"/>
    <col min="3" max="3" width="55" customWidth="1"/>
  </cols>
  <sheetData>
    <row r="1" ht="20.4" spans="1:1">
      <c r="A1" s="1" t="s">
        <v>257</v>
      </c>
    </row>
    <row r="3" ht="17" spans="1:3">
      <c r="A3" s="2" t="s">
        <v>258</v>
      </c>
      <c r="B3" s="2" t="s">
        <v>259</v>
      </c>
      <c r="C3" s="2" t="s">
        <v>6</v>
      </c>
    </row>
    <row r="4" ht="17" spans="1:3">
      <c r="A4" s="3" t="s">
        <v>260</v>
      </c>
      <c r="B4" s="3" t="s">
        <v>261</v>
      </c>
      <c r="C4" s="3" t="s">
        <v>262</v>
      </c>
    </row>
    <row r="5" ht="17" spans="1:3">
      <c r="A5" s="3" t="s">
        <v>263</v>
      </c>
      <c r="B5" s="3" t="s">
        <v>264</v>
      </c>
      <c r="C5" s="3" t="s">
        <v>265</v>
      </c>
    </row>
    <row r="6" ht="17" spans="1:3">
      <c r="A6" s="3" t="s">
        <v>234</v>
      </c>
      <c r="B6" s="3" t="s">
        <v>266</v>
      </c>
      <c r="C6" s="3" t="s">
        <v>267</v>
      </c>
    </row>
    <row r="7" ht="17" spans="1:3">
      <c r="A7" s="3" t="s">
        <v>268</v>
      </c>
      <c r="B7" s="3" t="s">
        <v>269</v>
      </c>
      <c r="C7" s="3" t="s">
        <v>270</v>
      </c>
    </row>
    <row r="8" ht="17" spans="1:3">
      <c r="A8" s="3" t="s">
        <v>271</v>
      </c>
      <c r="B8" s="3" t="s">
        <v>272</v>
      </c>
      <c r="C8" s="3" t="s">
        <v>273</v>
      </c>
    </row>
    <row r="9" ht="17" spans="1:3">
      <c r="A9" s="3" t="s">
        <v>274</v>
      </c>
      <c r="B9" s="3" t="s">
        <v>275</v>
      </c>
      <c r="C9" s="3" t="s">
        <v>276</v>
      </c>
    </row>
    <row r="10" ht="51" spans="1:3">
      <c r="A10" s="3" t="s">
        <v>277</v>
      </c>
      <c r="B10" s="3" t="s">
        <v>278</v>
      </c>
      <c r="C10" s="3" t="s">
        <v>279</v>
      </c>
    </row>
    <row r="11" ht="17" spans="1:3">
      <c r="A11" s="3" t="s">
        <v>280</v>
      </c>
      <c r="B11" s="3" t="s">
        <v>281</v>
      </c>
      <c r="C11" s="3" t="s">
        <v>282</v>
      </c>
    </row>
    <row r="12" ht="17" spans="1:3">
      <c r="A12" s="3" t="s">
        <v>283</v>
      </c>
      <c r="B12" s="3" t="s">
        <v>284</v>
      </c>
      <c r="C12" s="3" t="s">
        <v>285</v>
      </c>
    </row>
    <row r="13" ht="17" spans="1:3">
      <c r="A13" s="3" t="s">
        <v>286</v>
      </c>
      <c r="B13" s="3" t="s">
        <v>287</v>
      </c>
      <c r="C13" s="3" t="s">
        <v>288</v>
      </c>
    </row>
    <row r="14" ht="17" spans="1:3">
      <c r="A14" s="3" t="s">
        <v>289</v>
      </c>
      <c r="B14" s="3" t="s">
        <v>290</v>
      </c>
      <c r="C14" s="3" t="s">
        <v>291</v>
      </c>
    </row>
    <row r="15" ht="17" spans="1:3">
      <c r="A15" s="3" t="s">
        <v>292</v>
      </c>
      <c r="B15" s="3" t="s">
        <v>293</v>
      </c>
      <c r="C15" s="3" t="s">
        <v>294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H18" sqref="H18"/>
    </sheetView>
  </sheetViews>
  <sheetFormatPr defaultColWidth="9" defaultRowHeight="16.8" outlineLevelCol="5"/>
  <cols>
    <col min="1" max="1" width="18" customWidth="1"/>
    <col min="2" max="2" width="10" customWidth="1"/>
    <col min="3" max="3" width="8" customWidth="1"/>
    <col min="4" max="4" width="12" customWidth="1"/>
    <col min="5" max="5" width="22" customWidth="1"/>
    <col min="6" max="6" width="28" customWidth="1"/>
  </cols>
  <sheetData>
    <row r="1" ht="20.4" spans="1:1">
      <c r="A1" s="1" t="s">
        <v>295</v>
      </c>
    </row>
    <row r="2" spans="1:1">
      <c r="A2" s="4" t="s">
        <v>296</v>
      </c>
    </row>
    <row r="4" ht="17" spans="1:6">
      <c r="A4" s="2" t="s">
        <v>297</v>
      </c>
      <c r="B4" s="2" t="s">
        <v>298</v>
      </c>
      <c r="C4" s="2" t="s">
        <v>299</v>
      </c>
      <c r="D4" s="2" t="s">
        <v>300</v>
      </c>
      <c r="E4" s="2" t="s">
        <v>301</v>
      </c>
      <c r="F4" s="2" t="s">
        <v>302</v>
      </c>
    </row>
    <row r="5" ht="34" spans="1:6">
      <c r="A5" s="3" t="s">
        <v>303</v>
      </c>
      <c r="B5" s="3" t="s">
        <v>304</v>
      </c>
      <c r="C5" s="3" t="s">
        <v>83</v>
      </c>
      <c r="D5" s="3" t="s">
        <v>305</v>
      </c>
      <c r="E5" s="3" t="s">
        <v>306</v>
      </c>
      <c r="F5" s="3" t="s">
        <v>307</v>
      </c>
    </row>
    <row r="6" ht="17" spans="1:6">
      <c r="A6" s="3" t="s">
        <v>308</v>
      </c>
      <c r="B6" s="3" t="s">
        <v>309</v>
      </c>
      <c r="C6" s="3" t="s">
        <v>310</v>
      </c>
      <c r="D6" s="3" t="s">
        <v>305</v>
      </c>
      <c r="E6" s="3" t="s">
        <v>311</v>
      </c>
      <c r="F6" s="3" t="s">
        <v>312</v>
      </c>
    </row>
    <row r="7" ht="17" spans="1:6">
      <c r="A7" s="3" t="s">
        <v>313</v>
      </c>
      <c r="B7" s="3" t="s">
        <v>309</v>
      </c>
      <c r="C7" s="3" t="s">
        <v>314</v>
      </c>
      <c r="D7" s="3" t="s">
        <v>305</v>
      </c>
      <c r="E7" s="3" t="s">
        <v>315</v>
      </c>
      <c r="F7" s="3" t="s">
        <v>312</v>
      </c>
    </row>
    <row r="8" ht="17" spans="1:6">
      <c r="A8" s="3" t="s">
        <v>316</v>
      </c>
      <c r="B8" s="3" t="s">
        <v>317</v>
      </c>
      <c r="C8" s="3" t="s">
        <v>318</v>
      </c>
      <c r="D8" s="3" t="s">
        <v>305</v>
      </c>
      <c r="E8" s="3" t="s">
        <v>319</v>
      </c>
      <c r="F8" s="3" t="s">
        <v>320</v>
      </c>
    </row>
    <row r="9" ht="17" spans="1:6">
      <c r="A9" s="3" t="s">
        <v>321</v>
      </c>
      <c r="B9" s="3" t="s">
        <v>309</v>
      </c>
      <c r="C9" s="3" t="s">
        <v>322</v>
      </c>
      <c r="D9" s="3" t="s">
        <v>305</v>
      </c>
      <c r="E9" s="3" t="s">
        <v>323</v>
      </c>
      <c r="F9" s="3" t="s">
        <v>312</v>
      </c>
    </row>
    <row r="10" ht="17" spans="1:6">
      <c r="A10" s="3" t="s">
        <v>324</v>
      </c>
      <c r="B10" s="3" t="s">
        <v>325</v>
      </c>
      <c r="C10" s="3" t="s">
        <v>326</v>
      </c>
      <c r="D10" s="3" t="s">
        <v>305</v>
      </c>
      <c r="E10" s="3" t="s">
        <v>327</v>
      </c>
      <c r="F10" s="3" t="s">
        <v>312</v>
      </c>
    </row>
    <row r="11" ht="17" spans="1:6">
      <c r="A11" s="3" t="s">
        <v>328</v>
      </c>
      <c r="B11" s="3" t="s">
        <v>309</v>
      </c>
      <c r="C11" s="3" t="s">
        <v>329</v>
      </c>
      <c r="D11" s="3" t="s">
        <v>305</v>
      </c>
      <c r="E11" s="3" t="s">
        <v>330</v>
      </c>
      <c r="F11" s="3" t="s">
        <v>331</v>
      </c>
    </row>
    <row r="12" ht="34" spans="1:6">
      <c r="A12" s="3" t="s">
        <v>332</v>
      </c>
      <c r="B12" s="3" t="s">
        <v>333</v>
      </c>
      <c r="C12" s="3" t="s">
        <v>334</v>
      </c>
      <c r="D12" s="3" t="s">
        <v>305</v>
      </c>
      <c r="E12" s="3" t="s">
        <v>335</v>
      </c>
      <c r="F12" s="3" t="s">
        <v>331</v>
      </c>
    </row>
    <row r="13" ht="17" spans="1:6">
      <c r="A13" s="3" t="s">
        <v>336</v>
      </c>
      <c r="B13" s="3" t="s">
        <v>309</v>
      </c>
      <c r="C13" s="3" t="s">
        <v>337</v>
      </c>
      <c r="D13" s="3" t="s">
        <v>135</v>
      </c>
      <c r="E13" s="3" t="s">
        <v>338</v>
      </c>
      <c r="F13" s="3" t="s">
        <v>339</v>
      </c>
    </row>
    <row r="14" ht="17" spans="1:6">
      <c r="A14" s="3" t="s">
        <v>340</v>
      </c>
      <c r="B14" s="3" t="s">
        <v>309</v>
      </c>
      <c r="C14" s="3" t="s">
        <v>341</v>
      </c>
      <c r="D14" s="3" t="s">
        <v>305</v>
      </c>
      <c r="E14" s="3" t="s">
        <v>342</v>
      </c>
      <c r="F14" s="3" t="s">
        <v>331</v>
      </c>
    </row>
    <row r="15" ht="34" spans="1:6">
      <c r="A15" s="3" t="s">
        <v>343</v>
      </c>
      <c r="B15" s="3" t="s">
        <v>333</v>
      </c>
      <c r="C15" s="3" t="s">
        <v>344</v>
      </c>
      <c r="D15" s="3" t="s">
        <v>305</v>
      </c>
      <c r="E15" s="3" t="s">
        <v>345</v>
      </c>
      <c r="F15" s="3" t="s">
        <v>331</v>
      </c>
    </row>
    <row r="16" ht="17" spans="1:6">
      <c r="A16" s="3" t="s">
        <v>346</v>
      </c>
      <c r="B16" s="3" t="s">
        <v>309</v>
      </c>
      <c r="C16" s="3" t="s">
        <v>347</v>
      </c>
      <c r="D16" s="3" t="s">
        <v>305</v>
      </c>
      <c r="E16" s="3" t="s">
        <v>348</v>
      </c>
      <c r="F16" s="3" t="s">
        <v>331</v>
      </c>
    </row>
    <row r="17" ht="34" spans="1:6">
      <c r="A17" s="3" t="s">
        <v>349</v>
      </c>
      <c r="B17" s="3" t="s">
        <v>304</v>
      </c>
      <c r="C17" s="3" t="s">
        <v>350</v>
      </c>
      <c r="D17" s="3" t="s">
        <v>351</v>
      </c>
      <c r="E17" s="3" t="s">
        <v>352</v>
      </c>
      <c r="F17" s="3" t="s">
        <v>339</v>
      </c>
    </row>
    <row r="18" ht="34" spans="1:6">
      <c r="A18" s="3" t="s">
        <v>353</v>
      </c>
      <c r="B18" s="3" t="s">
        <v>304</v>
      </c>
      <c r="C18" s="3" t="s">
        <v>354</v>
      </c>
      <c r="D18" s="3" t="s">
        <v>355</v>
      </c>
      <c r="E18" s="3" t="s">
        <v>356</v>
      </c>
      <c r="F18" s="3" t="s">
        <v>339</v>
      </c>
    </row>
    <row r="19" ht="34" spans="1:6">
      <c r="A19" s="3" t="s">
        <v>357</v>
      </c>
      <c r="B19" s="3" t="s">
        <v>304</v>
      </c>
      <c r="C19" s="3" t="s">
        <v>358</v>
      </c>
      <c r="D19" s="3" t="s">
        <v>359</v>
      </c>
      <c r="E19" s="3" t="s">
        <v>360</v>
      </c>
      <c r="F19" s="3" t="s">
        <v>339</v>
      </c>
    </row>
    <row r="20" ht="17" spans="1:6">
      <c r="A20" s="3" t="s">
        <v>361</v>
      </c>
      <c r="B20" s="3" t="s">
        <v>304</v>
      </c>
      <c r="C20" s="3" t="s">
        <v>362</v>
      </c>
      <c r="D20" s="3" t="s">
        <v>363</v>
      </c>
      <c r="E20" s="3" t="s">
        <v>244</v>
      </c>
      <c r="F20" s="3" t="s">
        <v>364</v>
      </c>
    </row>
    <row r="21" ht="17" spans="1:6">
      <c r="A21" s="3" t="s">
        <v>365</v>
      </c>
      <c r="B21" s="3" t="s">
        <v>304</v>
      </c>
      <c r="C21" s="3" t="s">
        <v>366</v>
      </c>
      <c r="D21" s="3" t="s">
        <v>367</v>
      </c>
      <c r="E21" s="3" t="s">
        <v>368</v>
      </c>
      <c r="F21" s="3" t="s">
        <v>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6.8" outlineLevelCol="3"/>
  <cols>
    <col min="1" max="1" width="12" customWidth="1"/>
    <col min="2" max="2" width="42" customWidth="1"/>
    <col min="3" max="3" width="14" customWidth="1"/>
    <col min="4" max="4" width="8" customWidth="1"/>
  </cols>
  <sheetData>
    <row r="1" ht="20.4" spans="1:1">
      <c r="A1" s="1" t="s">
        <v>369</v>
      </c>
    </row>
    <row r="3" ht="17" spans="1:4">
      <c r="A3" s="2" t="s">
        <v>370</v>
      </c>
      <c r="B3" s="2" t="s">
        <v>371</v>
      </c>
      <c r="C3" s="2" t="s">
        <v>372</v>
      </c>
      <c r="D3" s="2" t="s">
        <v>373</v>
      </c>
    </row>
    <row r="4" ht="17" spans="1:4">
      <c r="A4" s="3" t="s">
        <v>374</v>
      </c>
      <c r="B4" s="3" t="s">
        <v>375</v>
      </c>
      <c r="C4" s="3" t="s">
        <v>376</v>
      </c>
      <c r="D4" s="3" t="s">
        <v>377</v>
      </c>
    </row>
    <row r="5" ht="34" spans="1:4">
      <c r="A5" s="3" t="s">
        <v>374</v>
      </c>
      <c r="B5" s="3" t="s">
        <v>378</v>
      </c>
      <c r="C5" s="3" t="s">
        <v>379</v>
      </c>
      <c r="D5" s="3" t="s">
        <v>377</v>
      </c>
    </row>
    <row r="6" ht="17" spans="1:4">
      <c r="A6" s="3" t="s">
        <v>380</v>
      </c>
      <c r="B6" s="3" t="s">
        <v>381</v>
      </c>
      <c r="C6" s="3" t="s">
        <v>382</v>
      </c>
      <c r="D6" s="3" t="s">
        <v>377</v>
      </c>
    </row>
    <row r="7" ht="17" spans="1:4">
      <c r="A7" s="3" t="s">
        <v>380</v>
      </c>
      <c r="B7" s="3" t="s">
        <v>383</v>
      </c>
      <c r="C7" s="3" t="s">
        <v>382</v>
      </c>
      <c r="D7" s="3" t="s">
        <v>377</v>
      </c>
    </row>
    <row r="8" ht="17" spans="1:4">
      <c r="A8" s="3" t="s">
        <v>384</v>
      </c>
      <c r="B8" s="3" t="s">
        <v>385</v>
      </c>
      <c r="C8" s="3" t="s">
        <v>382</v>
      </c>
      <c r="D8" s="3" t="s">
        <v>377</v>
      </c>
    </row>
    <row r="9" ht="17" spans="1:4">
      <c r="A9" s="3" t="s">
        <v>384</v>
      </c>
      <c r="B9" s="3" t="s">
        <v>386</v>
      </c>
      <c r="C9" s="3" t="s">
        <v>382</v>
      </c>
      <c r="D9" s="3" t="s">
        <v>377</v>
      </c>
    </row>
    <row r="10" ht="17" spans="1:4">
      <c r="A10" s="3" t="s">
        <v>384</v>
      </c>
      <c r="B10" s="3" t="s">
        <v>387</v>
      </c>
      <c r="C10" s="3" t="s">
        <v>382</v>
      </c>
      <c r="D10" s="3" t="s">
        <v>377</v>
      </c>
    </row>
    <row r="11" ht="17" spans="1:4">
      <c r="A11" s="3" t="s">
        <v>388</v>
      </c>
      <c r="B11" s="3" t="s">
        <v>389</v>
      </c>
      <c r="C11" s="3" t="s">
        <v>390</v>
      </c>
      <c r="D11" s="3" t="s">
        <v>377</v>
      </c>
    </row>
    <row r="12" ht="17" spans="1:4">
      <c r="A12" s="3" t="s">
        <v>388</v>
      </c>
      <c r="B12" s="3" t="s">
        <v>391</v>
      </c>
      <c r="C12" s="3" t="s">
        <v>390</v>
      </c>
      <c r="D12" s="3" t="s">
        <v>377</v>
      </c>
    </row>
    <row r="13" ht="17" spans="1:4">
      <c r="A13" s="3" t="s">
        <v>392</v>
      </c>
      <c r="B13" s="3" t="s">
        <v>393</v>
      </c>
      <c r="C13" s="3" t="s">
        <v>392</v>
      </c>
      <c r="D13" s="3" t="s">
        <v>377</v>
      </c>
    </row>
    <row r="14" ht="17" spans="1:4">
      <c r="A14" s="3" t="s">
        <v>392</v>
      </c>
      <c r="B14" s="3" t="s">
        <v>394</v>
      </c>
      <c r="C14" s="3" t="s">
        <v>392</v>
      </c>
      <c r="D14" s="3" t="s">
        <v>377</v>
      </c>
    </row>
    <row r="15" ht="17" spans="1:4">
      <c r="A15" s="3" t="s">
        <v>395</v>
      </c>
      <c r="B15" s="3" t="s">
        <v>396</v>
      </c>
      <c r="C15" s="3" t="s">
        <v>397</v>
      </c>
      <c r="D15" s="3" t="s">
        <v>377</v>
      </c>
    </row>
    <row r="16" ht="17" spans="1:4">
      <c r="A16" s="3" t="s">
        <v>398</v>
      </c>
      <c r="B16" s="3" t="s">
        <v>399</v>
      </c>
      <c r="C16" s="3" t="s">
        <v>397</v>
      </c>
      <c r="D16" s="3" t="s">
        <v>377</v>
      </c>
    </row>
    <row r="17" ht="17" spans="1:4">
      <c r="A17" s="3" t="s">
        <v>400</v>
      </c>
      <c r="B17" s="3" t="s">
        <v>401</v>
      </c>
      <c r="C17" s="3" t="s">
        <v>382</v>
      </c>
      <c r="D17" s="3" t="s">
        <v>377</v>
      </c>
    </row>
    <row r="18" ht="17" spans="1:4">
      <c r="A18" s="3" t="s">
        <v>402</v>
      </c>
      <c r="B18" s="3" t="s">
        <v>403</v>
      </c>
      <c r="C18" s="3" t="s">
        <v>404</v>
      </c>
      <c r="D18" s="3" t="s">
        <v>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架构总览</vt:lpstr>
      <vt:lpstr>服务器详细清单</vt:lpstr>
      <vt:lpstr>云厂商实例映射</vt:lpstr>
      <vt:lpstr>费用汇总</vt:lpstr>
      <vt:lpstr>网络与安全</vt:lpstr>
      <vt:lpstr>端口与服务清单</vt:lpstr>
      <vt:lpstr>部署检查清单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Jimjimsir</cp:lastModifiedBy>
  <dcterms:created xsi:type="dcterms:W3CDTF">2026-07-03T19:34:00Z</dcterms:created>
  <dcterms:modified xsi:type="dcterms:W3CDTF">2026-07-03T19:46:14Z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72A185D9CC26553AD5A0476A6469C5E4_42</vt:lpwstr>
  </property>
  <property fmtid="{D5CDD505-2E9C-101B-9397-08002B2CF9AE}" pid="3" name="KSOProductBuildVer">
    <vt:lpwstr>2052-7.4.1.8983</vt:lpwstr>
  </property>
</Properties>
</file>